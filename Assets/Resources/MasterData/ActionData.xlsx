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UnityProject\2DRoguelikeAlfa\Assets\Resources\MasterData\"/>
    </mc:Choice>
  </mc:AlternateContent>
  <xr:revisionPtr revIDLastSave="0" documentId="13_ncr:1_{645878CB-3B9C-4C04-B513-A231BD7432DF}" xr6:coauthVersionLast="47" xr6:coauthVersionMax="47" xr10:uidLastSave="{00000000-0000-0000-0000-000000000000}"/>
  <bookViews>
    <workbookView xWindow="-20160" yWindow="-4035" windowWidth="19095" windowHeight="15030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B9" i="1"/>
  <c r="B3" i="1"/>
  <c r="D3" i="1"/>
  <c r="B4" i="1"/>
  <c r="D4" i="1"/>
  <c r="B5" i="1"/>
  <c r="D5" i="1"/>
  <c r="B6" i="1"/>
  <c r="D6" i="1"/>
  <c r="B7" i="1"/>
  <c r="D7" i="1"/>
  <c r="B8" i="1"/>
  <c r="D8" i="1"/>
  <c r="D2" i="1"/>
  <c r="B2" i="1"/>
</calcChain>
</file>

<file path=xl/sharedStrings.xml><?xml version="1.0" encoding="utf-8"?>
<sst xmlns="http://schemas.openxmlformats.org/spreadsheetml/2006/main" count="28" uniqueCount="17">
  <si>
    <t>ID</t>
    <phoneticPr fontId="1"/>
  </si>
  <si>
    <t>nameID</t>
    <phoneticPr fontId="1"/>
  </si>
  <si>
    <t>rangeType</t>
    <phoneticPr fontId="1"/>
  </si>
  <si>
    <t>effectID[]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</si>
  <si>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</si>
  <si>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</si>
  <si>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</si>
  <si>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</si>
  <si>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</si>
  <si>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</si>
  <si>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</si>
  <si>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</si>
  <si>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満腹度30HP20回復</t>
    <rPh sb="0" eb="3">
      <t>マンプクド</t>
    </rPh>
    <rPh sb="9" eb="11">
      <t>カイフク</t>
    </rPh>
    <phoneticPr fontId="1"/>
  </si>
  <si>
    <t>焼き攻撃</t>
    <rPh sb="0" eb="1">
      <t>ヤ</t>
    </rPh>
    <rPh sb="2" eb="4">
      <t>コウゲキ</t>
    </rPh>
    <phoneticPr fontId="1"/>
  </si>
  <si>
    <t>腐らせる</t>
    <rPh sb="0" eb="1">
      <t>クサ</t>
    </rPh>
    <phoneticPr fontId="1"/>
  </si>
  <si>
    <t>正面10マス</t>
    <rPh sb="0" eb="2">
      <t>ショウメン</t>
    </rPh>
    <phoneticPr fontId="1"/>
  </si>
  <si>
    <t>場所替え</t>
    <rPh sb="0" eb="3">
      <t>バショガ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</si>
</sst>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="115" zoomScaleNormal="115" workbookViewId="0">
      <selection activeCell="A10" sqref="A10"/>
    </sheetView>
  </sheetViews>
  <sheetFormatPr defaultRowHeight="18.75"/>
  <cols>
    <col min="1" max="1" width="4.5" bestFit="1" customWidth="1"/>
    <col min="2" max="2" width="8.125" bestFit="1" customWidth="1"/>
    <col min="3" max="3" width="18.375" bestFit="1" customWidth="1"/>
    <col min="4" max="4" width="10.375" bestFit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2</v>
      </c>
      <c r="E1" s="1" t="s">
        <v>6</v>
      </c>
      <c r="F1" s="1" t="s">
        <v>3</v>
      </c>
      <c r="G1" s="1" t="s">
        <v>3</v>
      </c>
      <c r="H1" s="1" t="s">
        <v>3</v>
      </c>
      <c r="I1" s="1" t="s">
        <v>3</v>
      </c>
    </row>
    <row r="2" spans="1:9">
      <c r="A2" s="2">
        <v>0</v>
      </c>
      <c r="B2" s="2">
        <f>A2+16000</f>
        <v>16000</v>
      </c>
      <c r="C2" s="2" t="s">
        <v>5</v>
      </c>
      <c r="D2" s="3">
        <f>VLOOKUP(E2,reference!A:B,2,FALSE)</f>
        <v>0</v>
      </c>
      <c r="E2" s="2" t="s">
        <v>7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>
        <f t="shared" ref="B3:B4" si="0">A3+16000</f>
        <v>16001</v>
      </c>
      <c r="C3" s="2" t="s">
        <v>13</v>
      </c>
      <c r="D3" s="3">
        <f>VLOOKUP(E3,reference!A:B,2,FALSE)</f>
        <v>0</v>
      </c>
      <c r="E3" s="2" t="s">
        <v>7</v>
      </c>
      <c r="F3" s="2">
        <v>5</v>
      </c>
      <c r="G3" s="2">
        <v>7</v>
      </c>
      <c r="H3" s="2">
        <v>-1</v>
      </c>
      <c r="I3" s="2">
        <v>-1</v>
      </c>
    </row>
    <row r="4" spans="1:9">
      <c r="A4" s="2">
        <v>2</v>
      </c>
      <c r="B4" s="2">
        <f t="shared" si="0"/>
        <v>16002</v>
      </c>
      <c r="C4" s="2" t="s">
        <v>14</v>
      </c>
      <c r="D4" s="3">
        <f>VLOOKUP(E4,reference!A:B,2,FALSE)</f>
        <v>0</v>
      </c>
      <c r="E4" s="2" t="s">
        <v>7</v>
      </c>
      <c r="F4" s="2">
        <v>6</v>
      </c>
      <c r="G4" s="2">
        <v>-1</v>
      </c>
      <c r="H4" s="2">
        <v>-1</v>
      </c>
      <c r="I4" s="2">
        <v>-1</v>
      </c>
    </row>
    <row r="5" spans="1:9">
      <c r="A5" s="2">
        <v>100</v>
      </c>
      <c r="B5" s="2">
        <f t="shared" ref="B5:B8" si="1">A5+16000</f>
        <v>16100</v>
      </c>
      <c r="C5" s="2" t="s">
        <v>9</v>
      </c>
      <c r="D5" s="3">
        <f>VLOOKUP(E5,reference!A:B,2,FALSE)</f>
        <v>1</v>
      </c>
      <c r="E5" s="2" t="s">
        <v>8</v>
      </c>
      <c r="F5" s="2">
        <v>1</v>
      </c>
      <c r="G5" s="2">
        <v>-1</v>
      </c>
      <c r="H5" s="2">
        <v>-1</v>
      </c>
      <c r="I5" s="2">
        <v>-1</v>
      </c>
    </row>
    <row r="6" spans="1:9">
      <c r="A6" s="2">
        <v>101</v>
      </c>
      <c r="B6" s="2">
        <f t="shared" si="1"/>
        <v>16101</v>
      </c>
      <c r="C6" s="2" t="s">
        <v>10</v>
      </c>
      <c r="D6" s="3">
        <f>VLOOKUP(E6,reference!A:B,2,FALSE)</f>
        <v>1</v>
      </c>
      <c r="E6" s="2" t="s">
        <v>8</v>
      </c>
      <c r="F6" s="2">
        <v>2</v>
      </c>
      <c r="G6" s="2">
        <v>-1</v>
      </c>
      <c r="H6" s="2">
        <v>-1</v>
      </c>
      <c r="I6" s="2">
        <v>-1</v>
      </c>
    </row>
    <row r="7" spans="1:9">
      <c r="A7" s="2">
        <v>102</v>
      </c>
      <c r="B7" s="2">
        <f t="shared" si="1"/>
        <v>16102</v>
      </c>
      <c r="C7" s="2" t="s">
        <v>12</v>
      </c>
      <c r="D7" s="3">
        <f>VLOOKUP(E7,reference!A:B,2,FALSE)</f>
        <v>1</v>
      </c>
      <c r="E7" s="2" t="s">
        <v>8</v>
      </c>
      <c r="F7" s="2">
        <v>3</v>
      </c>
      <c r="G7" s="2">
        <v>2</v>
      </c>
      <c r="H7" s="2">
        <v>-1</v>
      </c>
      <c r="I7" s="2">
        <v>-1</v>
      </c>
    </row>
    <row r="8" spans="1:9">
      <c r="A8" s="2">
        <v>103</v>
      </c>
      <c r="B8" s="2">
        <f t="shared" si="1"/>
        <v>16103</v>
      </c>
      <c r="C8" s="2" t="s">
        <v>11</v>
      </c>
      <c r="D8" s="3">
        <f>VLOOKUP(E8,reference!A:B,2,FALSE)</f>
        <v>1</v>
      </c>
      <c r="E8" s="2" t="s">
        <v>8</v>
      </c>
      <c r="F8" s="2">
        <v>4</v>
      </c>
      <c r="G8" s="2">
        <v>-1</v>
      </c>
      <c r="H8" s="2">
        <v>-1</v>
      </c>
      <c r="I8" s="2">
        <v>-1</v>
      </c>
    </row>
    <row r="9" spans="1:9">
      <c r="A9" s="2">
        <v>104</v>
      </c>
      <c r="B9" s="2">
        <f t="shared" ref="B9" si="2">A9+16000</f>
        <v>16104</v>
      </c>
      <c r="C9" s="2" t="s">
        <v>16</v>
      </c>
      <c r="D9" s="3">
        <f>VLOOKUP(E9,reference!A:B,2,FALSE)</f>
        <v>2</v>
      </c>
      <c r="E9" s="2" t="s">
        <v>15</v>
      </c>
      <c r="F9" s="2">
        <v>8</v>
      </c>
      <c r="G9" s="2">
        <v>-1</v>
      </c>
      <c r="H9" s="2">
        <v>-1</v>
      </c>
      <c r="I9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22D76A-161D-4910-BD59-38C8E567B196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DC4-4EF8-4A17-979D-A53F7AB69E25}">
  <dimension ref="A1:B3"/>
  <sheetViews>
    <sheetView workbookViewId="0">
      <selection activeCell="A3" sqref="A3:XFD3"/>
    </sheetView>
  </sheetViews>
  <sheetFormatPr defaultRowHeight="18.75"/>
  <cols>
    <col min="1" max="1" width="10" bestFit="1" customWidth="1"/>
  </cols>
  <sheetData>
    <row r="1" spans="1:2">
      <c r="A1" t="s">
        <v>7</v>
      </c>
      <c r="B1">
        <v>0</v>
      </c>
    </row>
    <row r="2" spans="1:2">
      <c r="A2" t="s">
        <v>8</v>
      </c>
      <c r="B2">
        <v>1</v>
      </c>
    </row>
    <row r="3" spans="1:2">
      <c r="A3" t="s">
        <v>15</v>
      </c>
      <c r="B3">
        <v>2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宣明 矢尾</cp:lastModifiedBy>
  <dcterms:created xsi:type="dcterms:W3CDTF">2015-06-05T18:19:34Z</dcterms:created>
  <dcterms:modified xsi:type="dcterms:W3CDTF">2026-07-15T19:57:21Z</dcterms:modified>
</cp:coreProperties>
</file>