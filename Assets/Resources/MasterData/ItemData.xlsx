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eacher\Documents\2DRoguelikeAlfa\Assets\Resources\MasterData\"/>
    </mc:Choice>
  </mc:AlternateContent>
  <xr:revisionPtr revIDLastSave="0" documentId="13_ncr:1_{0A248A92-4404-4D3D-B1C5-F64E01250408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ItemData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C6" i="1"/>
  <c r="D6" i="1"/>
  <c r="C7" i="1"/>
  <c r="D7" i="1"/>
  <c r="C3" i="1"/>
  <c r="D3" i="1"/>
  <c r="D4" i="1"/>
  <c r="D5" i="1"/>
  <c r="D9" i="1"/>
  <c r="D10" i="1"/>
  <c r="D11" i="1"/>
  <c r="D12" i="1"/>
  <c r="D13" i="1"/>
  <c r="D14" i="1"/>
  <c r="D2" i="1"/>
  <c r="C4" i="1"/>
  <c r="C5" i="1"/>
  <c r="C9" i="1"/>
  <c r="C10" i="1"/>
  <c r="C11" i="1"/>
  <c r="C12" i="1"/>
  <c r="C13" i="1"/>
  <c r="C14" i="1"/>
  <c r="C2" i="1"/>
</calcChain>
</file>

<file path=xl/sharedStrings.xml><?xml version="1.0" encoding="utf-8"?>
<sst xmlns="http://schemas.openxmlformats.org/spreadsheetml/2006/main" count="36" uniqueCount="24">
  <si>
    <t>ID</t>
    <phoneticPr fontId="1"/>
  </si>
  <si>
    <t>nameID</t>
    <phoneticPr fontId="1"/>
  </si>
  <si>
    <t>category</t>
    <phoneticPr fontId="1"/>
  </si>
  <si>
    <t>actionID</t>
    <phoneticPr fontId="1"/>
  </si>
  <si>
    <t>comment</t>
    <phoneticPr fontId="1"/>
  </si>
  <si>
    <t>薬</t>
    <rPh sb="0" eb="1">
      <t>クスリ</t>
    </rPh>
    <phoneticPr fontId="1"/>
  </si>
  <si>
    <t>食べ物</t>
    <rPh sb="0" eb="1">
      <t>タ</t>
    </rPh>
    <rPh sb="2" eb="3">
      <t>モノ</t>
    </rPh>
    <phoneticPr fontId="1"/>
  </si>
  <si>
    <t>杖</t>
    <rPh sb="0" eb="1">
      <t>ツエ</t>
    </rPh>
    <phoneticPr fontId="1"/>
  </si>
  <si>
    <t>巻物</t>
    <rPh sb="0" eb="2">
      <t>マキモノ</t>
    </rPh>
    <phoneticPr fontId="1"/>
  </si>
  <si>
    <t>バッグ</t>
    <phoneticPr fontId="1"/>
  </si>
  <si>
    <t>投げモノ</t>
    <rPh sb="0" eb="1">
      <t>ナ</t>
    </rPh>
    <phoneticPr fontId="1"/>
  </si>
  <si>
    <t>武器</t>
    <rPh sb="0" eb="2">
      <t>ブキ</t>
    </rPh>
    <phoneticPr fontId="1"/>
  </si>
  <si>
    <t>防具</t>
    <rPh sb="0" eb="2">
      <t>ボウグ</t>
    </rPh>
    <phoneticPr fontId="1"/>
  </si>
  <si>
    <t>select</t>
    <phoneticPr fontId="1"/>
  </si>
  <si>
    <t>ポーションA</t>
    <phoneticPr fontId="1"/>
  </si>
  <si>
    <t>ポーションB</t>
    <phoneticPr fontId="1"/>
  </si>
  <si>
    <t>食べ物1</t>
    <rPh sb="0" eb="1">
      <t>タ</t>
    </rPh>
    <rPh sb="2" eb="3">
      <t>モノ</t>
    </rPh>
    <phoneticPr fontId="1"/>
  </si>
  <si>
    <t>食べ物2</t>
    <rPh sb="0" eb="1">
      <t>タ</t>
    </rPh>
    <rPh sb="2" eb="3">
      <t>モノ</t>
    </rPh>
    <phoneticPr fontId="1"/>
  </si>
  <si>
    <t>バッグ</t>
  </si>
  <si>
    <t>焼けた食べ物</t>
    <rPh sb="0" eb="1">
      <t>ヤ</t>
    </rPh>
    <rPh sb="3" eb="4">
      <t>タ</t>
    </rPh>
    <rPh sb="5" eb="6">
      <t>モノ</t>
    </rPh>
    <phoneticPr fontId="1"/>
  </si>
  <si>
    <t>腐った食べ物</t>
    <rPh sb="0" eb="1">
      <t>クサ</t>
    </rPh>
    <rPh sb="3" eb="4">
      <t>タ</t>
    </rPh>
    <rPh sb="5" eb="6">
      <t>モノ</t>
    </rPh>
    <phoneticPr fontId="1"/>
  </si>
  <si>
    <t>burnID</t>
    <phoneticPr fontId="1"/>
  </si>
  <si>
    <t>lotID</t>
    <phoneticPr fontId="1"/>
  </si>
  <si>
    <t>黒こげの食べ物</t>
    <rPh sb="0" eb="1">
      <t>クロ</t>
    </rPh>
    <rPh sb="4" eb="5">
      <t>タ</t>
    </rPh>
    <rPh sb="6" eb="7">
      <t>モノ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</si>
</sst>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2" borderId="2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="115" zoomScaleNormal="115" workbookViewId="0">
      <selection activeCell="H11" sqref="H11"/>
    </sheetView>
  </sheetViews>
  <sheetFormatPr defaultRowHeight="18.75"/>
  <cols>
    <col min="1" max="1" width="11.5" customWidth="1"/>
    <col min="2" max="2" width="15" bestFit="1" customWidth="1"/>
    <col min="4" max="4" width="8.625" hidden="1" customWidth="1"/>
    <col min="5" max="5" width="9" bestFit="1" customWidth="1"/>
    <col min="7" max="7" width="7.375" bestFit="1" customWidth="1"/>
    <col min="8" max="8" width="5.625" bestFit="1" customWidth="1"/>
  </cols>
  <sheetData>
    <row r="1" spans="1:8">
      <c r="A1" s="1" t="s">
        <v>0</v>
      </c>
      <c r="B1" s="2" t="s">
        <v>4</v>
      </c>
      <c r="C1" s="1" t="s">
        <v>1</v>
      </c>
      <c r="D1" s="1" t="s">
        <v>2</v>
      </c>
      <c r="E1" s="1" t="s">
        <v>13</v>
      </c>
      <c r="F1" s="1" t="s">
        <v>3</v>
      </c>
      <c r="G1" s="4" t="s">
        <v>21</v>
      </c>
      <c r="H1" s="4" t="s">
        <v>22</v>
      </c>
    </row>
    <row r="2" spans="1:8">
      <c r="A2" s="3">
        <v>0</v>
      </c>
      <c r="B2" s="3" t="s">
        <v>14</v>
      </c>
      <c r="C2" s="3">
        <f>A2+12000</f>
        <v>12000</v>
      </c>
      <c r="D2" s="3">
        <f>VLOOKUP(E2,reference!A:B,2,FALSE)</f>
        <v>0</v>
      </c>
      <c r="E2" s="3" t="s">
        <v>5</v>
      </c>
      <c r="F2" s="3">
        <v>100</v>
      </c>
      <c r="G2" s="3">
        <v>-1</v>
      </c>
      <c r="H2" s="3">
        <v>-1</v>
      </c>
    </row>
    <row r="3" spans="1:8">
      <c r="A3" s="3">
        <v>1</v>
      </c>
      <c r="B3" s="3" t="s">
        <v>15</v>
      </c>
      <c r="C3" s="3">
        <f>A3+12000</f>
        <v>12001</v>
      </c>
      <c r="D3" s="3">
        <f>VLOOKUP(E3,reference!A:B,2,FALSE)</f>
        <v>0</v>
      </c>
      <c r="E3" s="3" t="s">
        <v>5</v>
      </c>
      <c r="F3" s="3">
        <v>101</v>
      </c>
      <c r="G3" s="3">
        <v>-1</v>
      </c>
      <c r="H3" s="3">
        <v>-1</v>
      </c>
    </row>
    <row r="4" spans="1:8">
      <c r="A4" s="3">
        <v>100</v>
      </c>
      <c r="B4" s="3" t="s">
        <v>16</v>
      </c>
      <c r="C4" s="3">
        <f t="shared" ref="C4:C14" si="0">A4+12000</f>
        <v>12100</v>
      </c>
      <c r="D4" s="3">
        <f>VLOOKUP(E4,reference!A:B,2,FALSE)</f>
        <v>1</v>
      </c>
      <c r="E4" s="3" t="s">
        <v>6</v>
      </c>
      <c r="F4" s="3">
        <v>102</v>
      </c>
      <c r="G4" s="3">
        <v>102</v>
      </c>
      <c r="H4" s="3">
        <v>103</v>
      </c>
    </row>
    <row r="5" spans="1:8">
      <c r="A5" s="3">
        <v>101</v>
      </c>
      <c r="B5" s="3" t="s">
        <v>17</v>
      </c>
      <c r="C5" s="3">
        <f t="shared" si="0"/>
        <v>12101</v>
      </c>
      <c r="D5" s="3">
        <f>VLOOKUP(E5,reference!A:B,2,FALSE)</f>
        <v>1</v>
      </c>
      <c r="E5" s="3" t="s">
        <v>6</v>
      </c>
      <c r="F5" s="3">
        <v>103</v>
      </c>
      <c r="G5" s="3">
        <v>102</v>
      </c>
      <c r="H5" s="3">
        <v>103</v>
      </c>
    </row>
    <row r="6" spans="1:8">
      <c r="A6" s="3">
        <v>102</v>
      </c>
      <c r="B6" s="3" t="s">
        <v>19</v>
      </c>
      <c r="C6" s="3">
        <f t="shared" ref="C6:C7" si="1">A6+12000</f>
        <v>12102</v>
      </c>
      <c r="D6" s="3">
        <f>VLOOKUP(E6,reference!A:B,2,FALSE)</f>
        <v>1</v>
      </c>
      <c r="E6" s="3" t="s">
        <v>6</v>
      </c>
      <c r="F6" s="3">
        <v>-1</v>
      </c>
      <c r="G6" s="3">
        <v>104</v>
      </c>
      <c r="H6" s="3">
        <v>-1</v>
      </c>
    </row>
    <row r="7" spans="1:8">
      <c r="A7" s="3">
        <v>103</v>
      </c>
      <c r="B7" s="3" t="s">
        <v>20</v>
      </c>
      <c r="C7" s="3">
        <f t="shared" si="1"/>
        <v>12103</v>
      </c>
      <c r="D7" s="3">
        <f>VLOOKUP(E7,reference!A:B,2,FALSE)</f>
        <v>1</v>
      </c>
      <c r="E7" s="3" t="s">
        <v>6</v>
      </c>
      <c r="F7" s="3">
        <v>-1</v>
      </c>
      <c r="G7" s="3">
        <v>102</v>
      </c>
      <c r="H7" s="3">
        <v>-1</v>
      </c>
    </row>
    <row r="8" spans="1:8">
      <c r="A8" s="3">
        <v>104</v>
      </c>
      <c r="B8" s="3" t="s">
        <v>23</v>
      </c>
      <c r="C8" s="3">
        <f t="shared" ref="C8" si="2">A8+12000</f>
        <v>12104</v>
      </c>
      <c r="D8" s="3">
        <f>VLOOKUP(E8,reference!A:B,2,FALSE)</f>
        <v>1</v>
      </c>
      <c r="E8" s="3" t="s">
        <v>6</v>
      </c>
      <c r="F8" s="3">
        <v>-1</v>
      </c>
      <c r="G8" s="3">
        <v>-1</v>
      </c>
      <c r="H8" s="3">
        <v>-1</v>
      </c>
    </row>
    <row r="9" spans="1:8">
      <c r="A9" s="3">
        <v>200</v>
      </c>
      <c r="B9" s="3"/>
      <c r="C9" s="3">
        <f t="shared" si="0"/>
        <v>12200</v>
      </c>
      <c r="D9" s="3">
        <f>VLOOKUP(E9,reference!A:B,2,FALSE)</f>
        <v>2</v>
      </c>
      <c r="E9" s="3" t="s">
        <v>7</v>
      </c>
      <c r="F9" s="3">
        <v>-1</v>
      </c>
      <c r="G9" s="3">
        <v>-1</v>
      </c>
      <c r="H9" s="3">
        <v>-1</v>
      </c>
    </row>
    <row r="10" spans="1:8">
      <c r="A10" s="3">
        <v>300</v>
      </c>
      <c r="B10" s="3"/>
      <c r="C10" s="3">
        <f t="shared" si="0"/>
        <v>12300</v>
      </c>
      <c r="D10" s="3">
        <f>VLOOKUP(E10,reference!A:B,2,FALSE)</f>
        <v>3</v>
      </c>
      <c r="E10" s="3" t="s">
        <v>8</v>
      </c>
      <c r="F10" s="3">
        <v>-1</v>
      </c>
      <c r="G10" s="3">
        <v>-1</v>
      </c>
      <c r="H10" s="3">
        <v>-1</v>
      </c>
    </row>
    <row r="11" spans="1:8">
      <c r="A11" s="3">
        <v>400</v>
      </c>
      <c r="B11" s="3"/>
      <c r="C11" s="3">
        <f t="shared" si="0"/>
        <v>12400</v>
      </c>
      <c r="D11" s="3">
        <f>VLOOKUP(E11,reference!A:B,2,FALSE)</f>
        <v>4</v>
      </c>
      <c r="E11" s="3" t="s">
        <v>18</v>
      </c>
      <c r="F11" s="3">
        <v>-1</v>
      </c>
      <c r="G11" s="3">
        <v>-1</v>
      </c>
      <c r="H11" s="3">
        <v>-1</v>
      </c>
    </row>
    <row r="12" spans="1:8">
      <c r="A12" s="3">
        <v>500</v>
      </c>
      <c r="B12" s="3"/>
      <c r="C12" s="3">
        <f t="shared" si="0"/>
        <v>12500</v>
      </c>
      <c r="D12" s="3">
        <f>VLOOKUP(E12,reference!A:B,2,FALSE)</f>
        <v>5</v>
      </c>
      <c r="E12" s="3" t="s">
        <v>10</v>
      </c>
      <c r="F12" s="3">
        <v>-1</v>
      </c>
      <c r="G12" s="3">
        <v>-1</v>
      </c>
      <c r="H12" s="3">
        <v>-1</v>
      </c>
    </row>
    <row r="13" spans="1:8">
      <c r="A13" s="3">
        <v>600</v>
      </c>
      <c r="B13" s="3"/>
      <c r="C13" s="3">
        <f t="shared" si="0"/>
        <v>12600</v>
      </c>
      <c r="D13" s="3">
        <f>VLOOKUP(E13,reference!A:B,2,FALSE)</f>
        <v>6</v>
      </c>
      <c r="E13" s="3" t="s">
        <v>11</v>
      </c>
      <c r="F13" s="3">
        <v>-1</v>
      </c>
      <c r="G13" s="3">
        <v>-1</v>
      </c>
      <c r="H13" s="3">
        <v>-1</v>
      </c>
    </row>
    <row r="14" spans="1:8">
      <c r="A14" s="3">
        <v>700</v>
      </c>
      <c r="B14" s="3"/>
      <c r="C14" s="3">
        <f t="shared" si="0"/>
        <v>12700</v>
      </c>
      <c r="D14" s="3">
        <f>VLOOKUP(E14,reference!A:B,2,FALSE)</f>
        <v>7</v>
      </c>
      <c r="E14" s="3" t="s">
        <v>12</v>
      </c>
      <c r="F14" s="3">
        <v>-1</v>
      </c>
      <c r="G14" s="3">
        <v>-1</v>
      </c>
      <c r="H14" s="3">
        <v>-1</v>
      </c>
    </row>
  </sheetData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AB90CF-99AA-4FE2-A909-674E08EACDC0}">
          <x14:formula1>
            <xm:f>reference!$A:$A</xm:f>
          </x14:formula1>
          <xm:sqref>E2:E14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5FA5-9994-47ED-AA14-18D7853A7986}">
  <dimension ref="A1:B8"/>
  <sheetViews>
    <sheetView workbookViewId="0">
      <selection activeCell="B1" sqref="B1:B1048576"/>
    </sheetView>
  </sheetViews>
  <sheetFormatPr defaultRowHeight="18.75"/>
  <sheetData>
    <row r="1" spans="1:2">
      <c r="A1" t="s">
        <v>5</v>
      </c>
      <c r="B1">
        <v>0</v>
      </c>
    </row>
    <row r="2" spans="1:2">
      <c r="A2" t="s">
        <v>6</v>
      </c>
      <c r="B2">
        <v>1</v>
      </c>
    </row>
    <row r="3" spans="1:2">
      <c r="A3" t="s">
        <v>7</v>
      </c>
      <c r="B3">
        <v>2</v>
      </c>
    </row>
    <row r="4" spans="1:2">
      <c r="A4" t="s">
        <v>8</v>
      </c>
      <c r="B4">
        <v>3</v>
      </c>
    </row>
    <row r="5" spans="1:2">
      <c r="A5" t="s">
        <v>9</v>
      </c>
      <c r="B5">
        <v>4</v>
      </c>
    </row>
    <row r="6" spans="1:2">
      <c r="A6" t="s">
        <v>10</v>
      </c>
      <c r="B6">
        <v>5</v>
      </c>
    </row>
    <row r="7" spans="1:2">
      <c r="A7" t="s">
        <v>11</v>
      </c>
      <c r="B7">
        <v>6</v>
      </c>
    </row>
    <row r="8" spans="1:2">
      <c r="A8" t="s">
        <v>12</v>
      </c>
      <c r="B8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ItemData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上木原 友樹</cp:lastModifiedBy>
  <dcterms:created xsi:type="dcterms:W3CDTF">2015-06-05T18:19:34Z</dcterms:created>
  <dcterms:modified xsi:type="dcterms:W3CDTF">2025-07-17T05:57:08Z</dcterms:modified>
</cp:coreProperties>
</file>